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12F06060-9426-415B-BDBB-1268A7FB30A4}" xr6:coauthVersionLast="47" xr6:coauthVersionMax="47" xr10:uidLastSave="{00000000-0000-0000-0000-000000000000}"/>
  <bookViews>
    <workbookView xWindow="-98" yWindow="-98" windowWidth="21795" windowHeight="12975" activeTab="2" xr2:uid="{F648DD4C-FEEF-44F2-A13B-D1706B873F77}"/>
  </bookViews>
  <sheets>
    <sheet name="Cost" sheetId="1" r:id="rId1"/>
    <sheet name="Cost Forecast" sheetId="3" r:id="rId2"/>
    <sheet name="Revenu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H9" i="3"/>
  <c r="G9" i="3"/>
  <c r="H8" i="3"/>
  <c r="H7" i="3"/>
  <c r="H6" i="3"/>
  <c r="G8" i="3"/>
  <c r="G7" i="3"/>
  <c r="G6" i="3"/>
  <c r="H5" i="3"/>
  <c r="G5" i="3"/>
  <c r="F9" i="3"/>
  <c r="F8" i="3"/>
  <c r="F7" i="3"/>
  <c r="F6" i="3"/>
  <c r="F5" i="3"/>
  <c r="K5" i="2"/>
  <c r="K4" i="2"/>
  <c r="K3" i="2"/>
  <c r="K2" i="2"/>
  <c r="B5" i="1"/>
  <c r="B4" i="1"/>
  <c r="B3" i="1"/>
  <c r="C6" i="3"/>
  <c r="C7" i="3"/>
  <c r="C8" i="3"/>
  <c r="D8" i="3" l="1"/>
  <c r="E8" i="3"/>
  <c r="E7" i="3"/>
  <c r="D6" i="3"/>
  <c r="E6" i="3"/>
  <c r="D7" i="3"/>
</calcChain>
</file>

<file path=xl/sharedStrings.xml><?xml version="1.0" encoding="utf-8"?>
<sst xmlns="http://schemas.openxmlformats.org/spreadsheetml/2006/main" count="65" uniqueCount="60">
  <si>
    <t>2025-26</t>
  </si>
  <si>
    <t>Total</t>
  </si>
  <si>
    <t>Student Aid</t>
  </si>
  <si>
    <t>Recruiting</t>
  </si>
  <si>
    <t>Marketing</t>
  </si>
  <si>
    <t>Total Coaches</t>
  </si>
  <si>
    <t>Travel</t>
  </si>
  <si>
    <t>Games</t>
  </si>
  <si>
    <t>Guarantees</t>
  </si>
  <si>
    <t>Admin Salaries</t>
  </si>
  <si>
    <t>Facilities</t>
  </si>
  <si>
    <t>Inst. Support</t>
  </si>
  <si>
    <t>Equipment</t>
  </si>
  <si>
    <t>Camps</t>
  </si>
  <si>
    <t>Debt</t>
  </si>
  <si>
    <t>Medical</t>
  </si>
  <si>
    <t>Dues</t>
  </si>
  <si>
    <t>3rd Party Admin Comp.</t>
  </si>
  <si>
    <t>Severance</t>
  </si>
  <si>
    <t>Spirit Groups</t>
  </si>
  <si>
    <t>Head Coaches</t>
  </si>
  <si>
    <t>Facilities Maintenance (35A)</t>
  </si>
  <si>
    <t>Asst. Coaches</t>
  </si>
  <si>
    <t>3rd Party HC Comp</t>
  </si>
  <si>
    <t>3rd Party Asst. Comp</t>
  </si>
  <si>
    <t>3rd Party Total Comp.</t>
  </si>
  <si>
    <t>Admin Support</t>
  </si>
  <si>
    <t>Student-Athlete Meals...</t>
  </si>
  <si>
    <t>Bowl Expenses</t>
  </si>
  <si>
    <t>Bowl Expenses - Coaching...</t>
  </si>
  <si>
    <t>FB Host Settlements (41B)</t>
  </si>
  <si>
    <t>Postseason Non-FB (42)</t>
  </si>
  <si>
    <t>Postseason Non-FB Coaching...</t>
  </si>
  <si>
    <t>Non-FB Host Settlements (42B)</t>
  </si>
  <si>
    <t>Alston Benefits (43)</t>
  </si>
  <si>
    <t>Other</t>
  </si>
  <si>
    <t>NIL Revenue Share (44)</t>
  </si>
  <si>
    <t>2024-25</t>
  </si>
  <si>
    <t>$5.41M</t>
  </si>
  <si>
    <t>2023-24</t>
  </si>
  <si>
    <t>$4.55M</t>
  </si>
  <si>
    <t>2022-23</t>
  </si>
  <si>
    <t>$4.20M</t>
  </si>
  <si>
    <t>Fiscal Year</t>
  </si>
  <si>
    <t>Ticket Sales</t>
  </si>
  <si>
    <t>Fundraising</t>
  </si>
  <si>
    <t>Media Rights</t>
  </si>
  <si>
    <t>NCAA Distributions</t>
  </si>
  <si>
    <t>Conference Distributions</t>
  </si>
  <si>
    <t>Program, Novelty, Parking, Concessions</t>
  </si>
  <si>
    <t>Royalties, Licensing, Advertisement, Sponsorships</t>
  </si>
  <si>
    <t>Athletics Restricted Endowment &amp; Investments Income</t>
  </si>
  <si>
    <t>Timeline</t>
  </si>
  <si>
    <t>Values</t>
  </si>
  <si>
    <t>Forecast</t>
  </si>
  <si>
    <t>Lower Confidence Bound</t>
  </si>
  <si>
    <t>Upper Confidence Bound</t>
  </si>
  <si>
    <t>Percentage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</si>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</sst>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/>
    <xf numFmtId="6" fontId="2" fillId="0" borderId="2" xfId="0" applyNumberFormat="1" applyFont="1" applyBorder="1"/>
    <xf numFmtId="0" fontId="2" fillId="0" borderId="3" xfId="0" applyFont="1" applyBorder="1"/>
    <xf numFmtId="6" fontId="2" fillId="0" borderId="3" xfId="0" applyNumberFormat="1" applyFont="1" applyBorder="1"/>
    <xf numFmtId="0" fontId="1" fillId="2" borderId="1" xfId="0" applyFont="1" applyFill="1" applyBorder="1"/>
    <xf numFmtId="167" fontId="0" fillId="0" borderId="0" xfId="1" applyNumberFormat="1" applyFont="1"/>
    <xf numFmtId="167" fontId="0" fillId="0" borderId="0" xfId="0" applyNumberFormat="1"/>
    <xf numFmtId="10" fontId="0" fillId="0" borderId="0" xfId="2" applyNumberFormat="1" applyFont="1"/>
    <xf numFmtId="10" fontId="0" fillId="3" borderId="0" xfId="0" applyNumberFormat="1" applyFill="1"/>
    <xf numFmtId="0" fontId="4" fillId="0" borderId="0" xfId="0" applyFont="1"/>
    <xf numFmtId="0" fontId="0" fillId="0" borderId="0" xfId="0" applyFill="1"/>
    <xf numFmtId="167" fontId="0" fillId="0" borderId="0" xfId="1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3"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'Cost Forecast'!$B$1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'Cost Forecast'!$B$2:$B$8</c:f>
              <c:numCache>
                <c:formatCode>_("$"* #,##0_);_("$"* \(#,##0\);_("$"* "-"??_);_(@_)</c:formatCode>
                <c:ptCount val="7"/>
                <c:pt idx="0">
                  <c:v>42279433</c:v>
                </c:pt>
                <c:pt idx="1">
                  <c:v>44622483</c:v>
                </c:pt>
                <c:pt idx="2">
                  <c:v>43337703</c:v>
                </c:pt>
                <c:pt idx="3">
                  <c:v>44500000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5-4E02-9BD8-0584B614E7D3}"/>
            </c:ext>
          </c:extLst>
        </c:ser>
        <c:ser>
          <c:idx val="1"/>
          <c:order val="1"/>
          <c:tx>
            <c:strRef>
              <c:f>'Cost Forecast'!$C$1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'Cost Forecast'!$A$2:$A$8</c:f>
              <c:numCache>
                <c:formatCode>General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numCache>
            </c:numRef>
          </c:cat>
          <c:val>
            <c:numRef>
              <c:f>'Cost Forecast'!$C$2:$C$8</c:f>
              <c:numCache>
                <c:formatCode>General</c:formatCode>
                <c:ptCount val="7"/>
                <c:pt idx="3" formatCode="_(&quot;$&quot;* #,##0_);_(&quot;$&quot;* \(#,##0\);_(&quot;$&quot;* &quot;-&quot;??_);_(@_)">
                  <c:v>44500000</c:v>
                </c:pt>
                <c:pt idx="4" formatCode="_(&quot;$&quot;* #,##0_);_(&quot;$&quot;* \(#,##0\);_(&quot;$&quot;* &quot;-&quot;??_);_(@_)">
                  <c:v>45065090.606841743</c:v>
                </c:pt>
                <c:pt idx="5" formatCode="_(&quot;$&quot;* #,##0_);_(&quot;$&quot;* \(#,##0\);_(&quot;$&quot;* &quot;-&quot;??_);_(@_)">
                  <c:v>45758846.375265509</c:v>
                </c:pt>
                <c:pt idx="6" formatCode="_(&quot;$&quot;* #,##0_);_(&quot;$&quot;* \(#,##0\);_(&quot;$&quot;* &quot;-&quot;??_);_(@_)">
                  <c:v>46452602.143689275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5-4E02-9BD8-0584B614E7D3}"/>
            </c:ext>
          </c:extLst>
        </c:ser>
        <c:ser>
          <c:idx val="2"/>
          <c:order val="2"/>
          <c:tx>
            <c:strRef>
              <c:f>'Cost Forecast'!$D$1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'Cost Forecast'!$A$2:$A$8</c:f>
              <c:numCache>
                <c:formatCode>General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numCache>
            </c:numRef>
          </c:cat>
          <c:val>
            <c:numRef>
              <c:f>'Cost Forecast'!$D$2:$D$8</c:f>
              <c:numCache>
                <c:formatCode>General</c:formatCode>
                <c:ptCount val="7"/>
                <c:pt idx="3" formatCode="_(&quot;$&quot;* #,##0_);_(&quot;$&quot;* \(#,##0\);_(&quot;$&quot;* &quot;-&quot;??_);_(@_)">
                  <c:v>44500000</c:v>
                </c:pt>
                <c:pt idx="4" formatCode="_(&quot;$&quot;* #,##0_);_(&quot;$&quot;* \(#,##0\);_(&quot;$&quot;* &quot;-&quot;??_);_(@_)">
                  <c:v>43252775.438895077</c:v>
                </c:pt>
                <c:pt idx="5" formatCode="_(&quot;$&quot;* #,##0_);_(&quot;$&quot;* \(#,##0\);_(&quot;$&quot;* &quot;-&quot;??_);_(@_)">
                  <c:v>43910994.863734499</c:v>
                </c:pt>
                <c:pt idx="6" formatCode="_(&quot;$&quot;* #,##0_);_(&quot;$&quot;* \(#,##0\);_(&quot;$&quot;* &quot;-&quot;??_);_(@_)">
                  <c:v>44527444.818375781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45-4E02-9BD8-0584B614E7D3}"/>
            </c:ext>
          </c:extLst>
        </c:ser>
        <c:ser>
          <c:idx val="3"/>
          <c:order val="3"/>
          <c:tx>
            <c:strRef>
              <c:f>'Cost Forecast'!$E$1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'Cost Forecast'!$A$2:$A$8</c:f>
              <c:numCache>
                <c:formatCode>General</c:formatCod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numCache>
            </c:numRef>
          </c:cat>
          <c:val>
            <c:numRef>
              <c:f>'Cost Forecast'!$E$2:$E$8</c:f>
              <c:numCache>
                <c:formatCode>General</c:formatCode>
                <c:ptCount val="7"/>
                <c:pt idx="3" formatCode="_(&quot;$&quot;* #,##0_);_(&quot;$&quot;* \(#,##0\);_(&quot;$&quot;* &quot;-&quot;??_);_(@_)">
                  <c:v>44500000</c:v>
                </c:pt>
                <c:pt idx="4" formatCode="_(&quot;$&quot;* #,##0_);_(&quot;$&quot;* \(#,##0\);_(&quot;$&quot;* &quot;-&quot;??_);_(@_)">
                  <c:v>46877405.774788409</c:v>
                </c:pt>
                <c:pt idx="5" formatCode="_(&quot;$&quot;* #,##0_);_(&quot;$&quot;* \(#,##0\);_(&quot;$&quot;* &quot;-&quot;??_);_(@_)">
                  <c:v>47606697.886796519</c:v>
                </c:pt>
                <c:pt idx="6" formatCode="_(&quot;$&quot;* #,##0_);_(&quot;$&quot;* \(#,##0\);_(&quot;$&quot;* &quot;-&quot;??_);_(@_)">
                  <c:v>48377759.469002768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45-4E02-9BD8-0584B614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45183"/>
        <c:axId val="168843743"/>
      </c:lineChart>
      <c:catAx>
        <c:axId val="16884518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3743"/>
        <c:crosses val="autoZero"/>
        <c:auto val="1"/>
        <c:lblAlgn val="ctr"/>
        <c:lblOffset val="100"/>
        <c:noMultiLvlLbl val="0"/>
      </c:catAx>
      <c:valAx>
        <c:axId val="1688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308976</xdr:colOff>
      <xdr:row>12</xdr:row>
      <xdr:rowOff>53560</xdr:rowOff>
    </xdr:from>
    <xdr:to>
      <xdr:col>13</xdr:col>
      <xdr:colOff>171761</xdr:colOff>
      <xdr:row>41</xdr:row>
      <xdr:rowOff>31229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CFD03-76B0-BCA3-0C50-C43DF10B9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9B6CF-2414-451C-A810-C42D4FD65E2D}" name="Table1" displayName="Table1" ref="A1:E8" totalsRowShown="0">
  <autoFilter ref="A1:E8" xr:uid="{BDB9B6CF-2414-451C-A810-C42D4FD65E2D}"/>
  <tableColumns count="5">
    <tableColumn id="1" xr3:uid="{8076B526-625C-4B89-A875-E2E6F42AAFC4}" name="Timeline"/>
    <tableColumn id="2" xr3:uid="{C9E1D469-5F72-439C-8E63-380120D460B9}" name="Values"/>
    <tableColumn id="3" xr3:uid="{DE99C46C-C282-4A20-8252-29F4C1CD5949}" name="Forecast" dataDxfId="2"/>
    <tableColumn id="4" xr3:uid="{4447AA0D-A4A6-4E38-8027-D9AD3D93574B}" name="Lower Confidence Bound" dataDxfId="1"/>
    <tableColumn id="5" xr3:uid="{C0BAC7B9-D41F-42F3-9173-3D89EAC9C814}" name="Upper Confidence Bou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0E33-44B2-4D73-994B-73912A64F1D2}">
  <dimension ref="A1:AK14"/>
  <sheetViews>
    <sheetView zoomScale="85" zoomScaleNormal="85" workbookViewId="0">
      <selection activeCell="D14" sqref="D14"/>
    </sheetView>
  </sheetViews>
  <sheetFormatPr defaultRowHeight="14.25" x14ac:dyDescent="0.45"/>
  <cols>
    <col min="2" max="2" width="15.06640625" bestFit="1" customWidth="1"/>
    <col min="3" max="3" width="15.1328125" bestFit="1" customWidth="1"/>
    <col min="4" max="5" width="12.3984375" bestFit="1" customWidth="1"/>
    <col min="6" max="8" width="14.06640625" bestFit="1" customWidth="1"/>
    <col min="9" max="9" width="12.3984375" bestFit="1" customWidth="1"/>
    <col min="10" max="10" width="14.06640625" bestFit="1" customWidth="1"/>
    <col min="11" max="11" width="12.3984375" bestFit="1" customWidth="1"/>
    <col min="12" max="13" width="14.06640625" bestFit="1" customWidth="1"/>
    <col min="14" max="17" width="12.3984375" bestFit="1" customWidth="1"/>
    <col min="20" max="20" width="12.3984375" bestFit="1" customWidth="1"/>
    <col min="21" max="21" width="14.06640625" bestFit="1" customWidth="1"/>
    <col min="22" max="22" width="12.3984375" bestFit="1" customWidth="1"/>
    <col min="27" max="27" width="14.06640625" bestFit="1" customWidth="1"/>
    <col min="28" max="29" width="12.3984375" bestFit="1" customWidth="1"/>
    <col min="30" max="30" width="11.33203125" bestFit="1" customWidth="1"/>
    <col min="32" max="32" width="12.3984375" bestFit="1" customWidth="1"/>
    <col min="33" max="33" width="10.33203125" bestFit="1" customWidth="1"/>
    <col min="35" max="35" width="12.3984375" bestFit="1" customWidth="1"/>
    <col min="36" max="36" width="14.06640625" bestFit="1" customWidth="1"/>
    <col min="37" max="37" width="19.33203125" bestFit="1" customWidth="1"/>
  </cols>
  <sheetData>
    <row r="1" spans="1:37" x14ac:dyDescent="0.4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45">
      <c r="A2" t="s">
        <v>0</v>
      </c>
      <c r="B2" s="6">
        <v>44500000</v>
      </c>
      <c r="AK2" s="6">
        <v>4970000</v>
      </c>
    </row>
    <row r="3" spans="1:37" x14ac:dyDescent="0.45">
      <c r="A3" t="s">
        <v>37</v>
      </c>
      <c r="B3" s="6">
        <f>SUM(C3:AK3)</f>
        <v>43337703</v>
      </c>
      <c r="C3" s="6">
        <v>10370000</v>
      </c>
      <c r="D3" s="6">
        <v>780377</v>
      </c>
      <c r="E3" s="6">
        <v>725293</v>
      </c>
      <c r="F3" s="6">
        <v>9140000</v>
      </c>
      <c r="G3" s="6">
        <v>2190000</v>
      </c>
      <c r="H3" s="6">
        <v>2050000</v>
      </c>
      <c r="I3" s="6">
        <v>834000</v>
      </c>
      <c r="J3" s="6">
        <v>5100000</v>
      </c>
      <c r="K3" s="6">
        <v>292662</v>
      </c>
      <c r="L3" s="6">
        <v>0</v>
      </c>
      <c r="M3" s="6">
        <v>2290000</v>
      </c>
      <c r="N3" s="6">
        <v>205604</v>
      </c>
      <c r="O3" s="6">
        <v>125000</v>
      </c>
      <c r="P3" s="6">
        <v>550469</v>
      </c>
      <c r="Q3" s="6">
        <v>196868</v>
      </c>
      <c r="R3" s="6">
        <v>0</v>
      </c>
      <c r="S3" s="6">
        <v>0</v>
      </c>
      <c r="T3" s="6">
        <v>238572</v>
      </c>
      <c r="U3" s="6">
        <v>3730000</v>
      </c>
      <c r="V3" s="6">
        <v>618689</v>
      </c>
      <c r="W3" s="6" t="s">
        <v>38</v>
      </c>
      <c r="X3" s="6">
        <v>0</v>
      </c>
      <c r="Y3" s="6">
        <v>0</v>
      </c>
      <c r="Z3" s="6">
        <v>0</v>
      </c>
      <c r="AA3" s="6">
        <v>125000</v>
      </c>
      <c r="AB3" s="6">
        <v>502477</v>
      </c>
      <c r="AC3" s="6">
        <v>453511</v>
      </c>
      <c r="AD3" s="6">
        <v>71550</v>
      </c>
      <c r="AE3" s="6">
        <v>0</v>
      </c>
      <c r="AF3" s="6">
        <v>117001</v>
      </c>
      <c r="AG3" s="6">
        <v>5000</v>
      </c>
      <c r="AH3" s="6">
        <v>0</v>
      </c>
      <c r="AI3" s="6">
        <v>415630</v>
      </c>
      <c r="AJ3" s="6">
        <v>2210000</v>
      </c>
      <c r="AK3" s="6">
        <v>0</v>
      </c>
    </row>
    <row r="4" spans="1:37" x14ac:dyDescent="0.45">
      <c r="A4" t="s">
        <v>39</v>
      </c>
      <c r="B4" s="6">
        <f>SUM(C4:AK4)</f>
        <v>44622483</v>
      </c>
      <c r="C4" s="6">
        <v>10090000</v>
      </c>
      <c r="D4" s="6">
        <v>839941</v>
      </c>
      <c r="E4" s="6">
        <v>732641</v>
      </c>
      <c r="F4" s="6">
        <v>8890000</v>
      </c>
      <c r="G4" s="6">
        <v>2020000</v>
      </c>
      <c r="H4" s="6">
        <v>2040000</v>
      </c>
      <c r="I4" s="6">
        <v>380500</v>
      </c>
      <c r="J4" s="6">
        <v>4730000</v>
      </c>
      <c r="K4" s="6">
        <v>738639</v>
      </c>
      <c r="L4" s="6">
        <v>1430000</v>
      </c>
      <c r="M4" s="6">
        <v>1850000</v>
      </c>
      <c r="N4" s="6">
        <v>223649</v>
      </c>
      <c r="O4" s="6">
        <v>125000</v>
      </c>
      <c r="P4" s="6">
        <v>672404</v>
      </c>
      <c r="Q4" s="6">
        <v>215203</v>
      </c>
      <c r="R4" s="6">
        <v>0</v>
      </c>
      <c r="S4" s="6">
        <v>0</v>
      </c>
      <c r="T4" s="6">
        <v>60412</v>
      </c>
      <c r="U4" s="6">
        <v>4340000</v>
      </c>
      <c r="V4" s="6">
        <v>0</v>
      </c>
      <c r="W4" s="6" t="s">
        <v>40</v>
      </c>
      <c r="X4" s="6">
        <v>0</v>
      </c>
      <c r="Y4" s="6">
        <v>0</v>
      </c>
      <c r="Z4" s="6">
        <v>0</v>
      </c>
      <c r="AA4" s="6">
        <v>1550000</v>
      </c>
      <c r="AB4" s="6">
        <v>599696</v>
      </c>
      <c r="AC4" s="6">
        <v>466348</v>
      </c>
      <c r="AD4" s="6">
        <v>48050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2580000</v>
      </c>
      <c r="AK4" s="6">
        <v>0</v>
      </c>
    </row>
    <row r="5" spans="1:37" x14ac:dyDescent="0.45">
      <c r="A5" t="s">
        <v>41</v>
      </c>
      <c r="B5" s="6">
        <f>SUM(C5:AK5)</f>
        <v>42279433</v>
      </c>
      <c r="C5" s="6">
        <v>9630000</v>
      </c>
      <c r="D5" s="6">
        <v>651543</v>
      </c>
      <c r="E5" s="6">
        <v>574139</v>
      </c>
      <c r="F5" s="6">
        <v>8360000</v>
      </c>
      <c r="G5" s="6">
        <v>2370000</v>
      </c>
      <c r="H5" s="6">
        <v>1780000</v>
      </c>
      <c r="I5" s="6">
        <v>607000</v>
      </c>
      <c r="J5" s="6">
        <v>4130000</v>
      </c>
      <c r="K5" s="6">
        <v>525057</v>
      </c>
      <c r="L5" s="6">
        <v>1540000</v>
      </c>
      <c r="M5" s="6">
        <v>1700000</v>
      </c>
      <c r="N5" s="6">
        <v>233873</v>
      </c>
      <c r="O5" s="6">
        <v>125000</v>
      </c>
      <c r="P5" s="6">
        <v>519594</v>
      </c>
      <c r="Q5" s="6">
        <v>257109</v>
      </c>
      <c r="R5" s="6">
        <v>0</v>
      </c>
      <c r="S5" s="6">
        <v>0</v>
      </c>
      <c r="T5" s="6">
        <v>98112</v>
      </c>
      <c r="U5" s="6">
        <v>4160000</v>
      </c>
      <c r="V5" s="6">
        <v>0</v>
      </c>
      <c r="W5" s="6" t="s">
        <v>42</v>
      </c>
      <c r="X5" s="6">
        <v>0</v>
      </c>
      <c r="Y5" s="6">
        <v>0</v>
      </c>
      <c r="Z5" s="6">
        <v>0</v>
      </c>
      <c r="AA5" s="6">
        <v>1660000</v>
      </c>
      <c r="AB5" s="6">
        <v>529095</v>
      </c>
      <c r="AC5" s="6">
        <v>553411</v>
      </c>
      <c r="AD5" s="6">
        <v>75500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2200000</v>
      </c>
      <c r="AK5" s="6">
        <v>0</v>
      </c>
    </row>
    <row r="8" spans="1:37" x14ac:dyDescent="0.45">
      <c r="A8">
        <v>2022</v>
      </c>
      <c r="B8" s="6">
        <v>42279433</v>
      </c>
      <c r="C8" s="6">
        <v>9630000</v>
      </c>
      <c r="D8" s="6">
        <v>651543</v>
      </c>
      <c r="E8" s="6">
        <v>574139</v>
      </c>
      <c r="F8" s="6">
        <v>8360000</v>
      </c>
      <c r="G8" s="6">
        <v>2370000</v>
      </c>
      <c r="H8" s="6">
        <v>1780000</v>
      </c>
      <c r="I8" s="6">
        <v>607000</v>
      </c>
      <c r="J8" s="6">
        <v>4130000</v>
      </c>
      <c r="K8" s="6">
        <v>525057</v>
      </c>
      <c r="L8" s="6">
        <v>1540000</v>
      </c>
      <c r="M8" s="6">
        <v>1700000</v>
      </c>
      <c r="N8" s="6">
        <v>233873</v>
      </c>
      <c r="O8" s="6">
        <v>125000</v>
      </c>
      <c r="P8" s="6">
        <v>519594</v>
      </c>
      <c r="Q8" s="6">
        <v>257109</v>
      </c>
      <c r="R8" s="6">
        <v>0</v>
      </c>
      <c r="S8" s="6">
        <v>0</v>
      </c>
      <c r="T8" s="6">
        <v>98112</v>
      </c>
      <c r="U8" s="6">
        <v>4160000</v>
      </c>
      <c r="V8" s="6">
        <v>0</v>
      </c>
      <c r="W8" s="6" t="s">
        <v>42</v>
      </c>
      <c r="X8" s="6">
        <v>0</v>
      </c>
      <c r="Y8" s="6">
        <v>0</v>
      </c>
      <c r="Z8" s="6">
        <v>0</v>
      </c>
      <c r="AA8" s="6">
        <v>1660000</v>
      </c>
      <c r="AB8" s="6">
        <v>529095</v>
      </c>
      <c r="AC8" s="6">
        <v>553411</v>
      </c>
      <c r="AD8" s="6">
        <v>75500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2200000</v>
      </c>
      <c r="AK8" s="6">
        <v>0</v>
      </c>
    </row>
    <row r="9" spans="1:37" x14ac:dyDescent="0.45">
      <c r="A9">
        <v>2023</v>
      </c>
      <c r="B9" s="6">
        <v>44622483</v>
      </c>
      <c r="C9" s="6">
        <v>10090000</v>
      </c>
      <c r="D9" s="6">
        <v>839941</v>
      </c>
      <c r="E9" s="6">
        <v>732641</v>
      </c>
      <c r="F9" s="6">
        <v>8890000</v>
      </c>
      <c r="G9" s="6">
        <v>2020000</v>
      </c>
      <c r="H9" s="6">
        <v>2040000</v>
      </c>
      <c r="I9" s="6">
        <v>380500</v>
      </c>
      <c r="J9" s="6">
        <v>4730000</v>
      </c>
      <c r="K9" s="6">
        <v>738639</v>
      </c>
      <c r="L9" s="6">
        <v>1430000</v>
      </c>
      <c r="M9" s="6">
        <v>1850000</v>
      </c>
      <c r="N9" s="6">
        <v>223649</v>
      </c>
      <c r="O9" s="6">
        <v>125000</v>
      </c>
      <c r="P9" s="6">
        <v>672404</v>
      </c>
      <c r="Q9" s="6">
        <v>215203</v>
      </c>
      <c r="R9" s="6">
        <v>0</v>
      </c>
      <c r="S9" s="6">
        <v>0</v>
      </c>
      <c r="T9" s="6">
        <v>60412</v>
      </c>
      <c r="U9" s="6">
        <v>4340000</v>
      </c>
      <c r="V9" s="6">
        <v>0</v>
      </c>
      <c r="W9" s="6" t="s">
        <v>40</v>
      </c>
      <c r="X9" s="6">
        <v>0</v>
      </c>
      <c r="Y9" s="6">
        <v>0</v>
      </c>
      <c r="Z9" s="6">
        <v>0</v>
      </c>
      <c r="AA9" s="6">
        <v>1550000</v>
      </c>
      <c r="AB9" s="6">
        <v>599696</v>
      </c>
      <c r="AC9" s="6">
        <v>466348</v>
      </c>
      <c r="AD9" s="6">
        <v>48050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2580000</v>
      </c>
      <c r="AK9" s="6">
        <v>0</v>
      </c>
    </row>
    <row r="10" spans="1:37" x14ac:dyDescent="0.45">
      <c r="A10">
        <v>2024</v>
      </c>
      <c r="B10" s="6">
        <v>43337703</v>
      </c>
      <c r="C10" s="6">
        <v>10370000</v>
      </c>
      <c r="D10" s="6">
        <v>780377</v>
      </c>
      <c r="E10" s="6">
        <v>725293</v>
      </c>
      <c r="F10" s="6">
        <v>9140000</v>
      </c>
      <c r="G10" s="6">
        <v>2190000</v>
      </c>
      <c r="H10" s="6">
        <v>2050000</v>
      </c>
      <c r="I10" s="6">
        <v>834000</v>
      </c>
      <c r="J10" s="6">
        <v>5100000</v>
      </c>
      <c r="K10" s="6">
        <v>292662</v>
      </c>
      <c r="L10" s="6">
        <v>0</v>
      </c>
      <c r="M10" s="6">
        <v>2290000</v>
      </c>
      <c r="N10" s="6">
        <v>205604</v>
      </c>
      <c r="O10" s="6">
        <v>125000</v>
      </c>
      <c r="P10" s="6">
        <v>550469</v>
      </c>
      <c r="Q10" s="6">
        <v>196868</v>
      </c>
      <c r="R10" s="6">
        <v>0</v>
      </c>
      <c r="S10" s="6">
        <v>0</v>
      </c>
      <c r="T10" s="6">
        <v>238572</v>
      </c>
      <c r="U10" s="6">
        <v>3730000</v>
      </c>
      <c r="V10" s="6">
        <v>618689</v>
      </c>
      <c r="W10" s="6" t="s">
        <v>38</v>
      </c>
      <c r="X10" s="6">
        <v>0</v>
      </c>
      <c r="Y10" s="6">
        <v>0</v>
      </c>
      <c r="Z10" s="6">
        <v>0</v>
      </c>
      <c r="AA10" s="6">
        <v>125000</v>
      </c>
      <c r="AB10" s="6">
        <v>502477</v>
      </c>
      <c r="AC10" s="6">
        <v>453511</v>
      </c>
      <c r="AD10" s="6">
        <v>71550</v>
      </c>
      <c r="AE10" s="6">
        <v>0</v>
      </c>
      <c r="AF10" s="6">
        <v>117001</v>
      </c>
      <c r="AG10" s="6">
        <v>5000</v>
      </c>
      <c r="AH10" s="6">
        <v>0</v>
      </c>
      <c r="AI10" s="6">
        <v>415630</v>
      </c>
      <c r="AJ10" s="6">
        <v>2210000</v>
      </c>
      <c r="AK10" s="6">
        <v>0</v>
      </c>
    </row>
    <row r="11" spans="1:37" x14ac:dyDescent="0.45">
      <c r="A11">
        <v>2025</v>
      </c>
      <c r="B11" s="6">
        <v>44500000</v>
      </c>
      <c r="AK11" s="6">
        <v>4970000</v>
      </c>
    </row>
    <row r="12" spans="1:37" s="11" customFormat="1" x14ac:dyDescent="0.45">
      <c r="B12" s="12"/>
    </row>
    <row r="13" spans="1:37" s="11" customFormat="1" x14ac:dyDescent="0.45">
      <c r="B13" s="12"/>
    </row>
    <row r="14" spans="1:37" s="11" customFormat="1" x14ac:dyDescent="0.45">
      <c r="B14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16EE-7720-4957-A70B-5E8F90AFA1EC}">
  <dimension ref="A1:H9"/>
  <sheetViews>
    <sheetView zoomScale="80" zoomScaleNormal="80" workbookViewId="0">
      <selection activeCell="N6" sqref="N6"/>
    </sheetView>
  </sheetViews>
  <sheetFormatPr defaultRowHeight="14.25" x14ac:dyDescent="0.45"/>
  <cols>
    <col min="1" max="1" width="9.46484375" customWidth="1"/>
    <col min="2" max="3" width="12" bestFit="1" customWidth="1"/>
    <col min="4" max="5" width="22.3984375" customWidth="1"/>
    <col min="6" max="6" width="12.59765625" bestFit="1" customWidth="1"/>
  </cols>
  <sheetData>
    <row r="1" spans="1:8" x14ac:dyDescent="0.4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s="10" t="s">
        <v>57</v>
      </c>
      <c r="G1" s="10" t="s">
        <v>58</v>
      </c>
      <c r="H1" s="10" t="s">
        <v>59</v>
      </c>
    </row>
    <row r="2" spans="1:8" x14ac:dyDescent="0.45">
      <c r="A2">
        <v>2022</v>
      </c>
      <c r="B2" s="7">
        <v>42279433</v>
      </c>
      <c r="F2" s="7"/>
    </row>
    <row r="3" spans="1:8" x14ac:dyDescent="0.45">
      <c r="A3">
        <v>2023</v>
      </c>
      <c r="B3" s="7">
        <v>44622483</v>
      </c>
      <c r="F3" s="8">
        <f>(Table1[[#This Row],[Values]]-B2)/B2</f>
        <v>5.5418198252564076E-2</v>
      </c>
      <c r="G3" s="8">
        <v>5.5418198252564076E-2</v>
      </c>
      <c r="H3" s="8">
        <v>5.5418198252564076E-2</v>
      </c>
    </row>
    <row r="4" spans="1:8" x14ac:dyDescent="0.45">
      <c r="A4">
        <v>2024</v>
      </c>
      <c r="B4" s="7">
        <v>43337703</v>
      </c>
      <c r="F4" s="8">
        <f>(Table1[[#This Row],[Values]]-B3)/B3</f>
        <v>-2.8792212212843466E-2</v>
      </c>
      <c r="G4" s="8">
        <v>-2.8792212212843466E-2</v>
      </c>
      <c r="H4" s="8">
        <v>-2.8792212212843466E-2</v>
      </c>
    </row>
    <row r="5" spans="1:8" x14ac:dyDescent="0.45">
      <c r="A5">
        <v>2025</v>
      </c>
      <c r="B5" s="7">
        <v>44500000</v>
      </c>
      <c r="C5" s="7">
        <v>44500000</v>
      </c>
      <c r="D5" s="7">
        <v>44500000</v>
      </c>
      <c r="E5" s="7">
        <v>44500000</v>
      </c>
      <c r="F5" s="8">
        <f>(Table1[[#This Row],[Values]]-B4)/B4</f>
        <v>2.6819534020988606E-2</v>
      </c>
      <c r="G5" s="8">
        <f>(Table1[[#This Row],[Values]]-B4)/B4</f>
        <v>2.6819534020988606E-2</v>
      </c>
      <c r="H5" s="8">
        <f>(Table1[[#This Row],[Values]]-B4)/B4</f>
        <v>2.6819534020988606E-2</v>
      </c>
    </row>
    <row r="6" spans="1:8" x14ac:dyDescent="0.45">
      <c r="A6">
        <v>2026</v>
      </c>
      <c r="C6" s="7">
        <f>_xlfn.FORECAST.ETS(A6,$B$2:$B$5,$A$2:$A$5,0,1)</f>
        <v>45065090.606841743</v>
      </c>
      <c r="D6" s="7">
        <f>C6-_xlfn.FORECAST.ETS.CONFINT(A6,$B$2:$B$5,$A$2:$A$5,0.95,0,1)</f>
        <v>43252775.438895077</v>
      </c>
      <c r="E6" s="7">
        <f>C6+_xlfn.FORECAST.ETS.CONFINT(A6,$B$2:$B$5,$A$2:$A$5,0.95,0,1)</f>
        <v>46877405.774788409</v>
      </c>
      <c r="F6" s="8">
        <f>(Table1[[#This Row],[Forecast]]-B5)/B5</f>
        <v>1.2698665322286359E-2</v>
      </c>
      <c r="G6" s="8">
        <f>(Table1[[#This Row],[Lower Confidence Bound]]-D5)/D5</f>
        <v>-2.8027518227076931E-2</v>
      </c>
      <c r="H6" s="8">
        <f>(Table1[[#This Row],[Upper Confidence Bound]]-E5)/E5</f>
        <v>5.3424848871649652E-2</v>
      </c>
    </row>
    <row r="7" spans="1:8" x14ac:dyDescent="0.45">
      <c r="A7">
        <v>2027</v>
      </c>
      <c r="C7" s="7">
        <f>_xlfn.FORECAST.ETS(A7,$B$2:$B$5,$A$2:$A$5,0,1)</f>
        <v>45758846.375265509</v>
      </c>
      <c r="D7" s="7">
        <f>C7-_xlfn.FORECAST.ETS.CONFINT(A7,$B$2:$B$5,$A$2:$A$5,0.95,0,1)</f>
        <v>43910994.863734499</v>
      </c>
      <c r="E7" s="7">
        <f>C7+_xlfn.FORECAST.ETS.CONFINT(A7,$B$2:$B$5,$A$2:$A$5,0.95,0,1)</f>
        <v>47606697.886796519</v>
      </c>
      <c r="F7" s="8">
        <f>(Table1[[#This Row],[Forecast]]-C6)/C6</f>
        <v>1.5394527317746933E-2</v>
      </c>
      <c r="G7" s="8">
        <f>(Table1[[#This Row],[Lower Confidence Bound]]-D6)/D6</f>
        <v>1.5217969671548939E-2</v>
      </c>
      <c r="H7" s="8">
        <f>(Table1[[#This Row],[Upper Confidence Bound]]-E6)/E6</f>
        <v>1.5557433265650919E-2</v>
      </c>
    </row>
    <row r="8" spans="1:8" x14ac:dyDescent="0.45">
      <c r="A8">
        <v>2028</v>
      </c>
      <c r="C8" s="7">
        <f>_xlfn.FORECAST.ETS(A8,$B$2:$B$5,$A$2:$A$5,0,1)</f>
        <v>46452602.143689275</v>
      </c>
      <c r="D8" s="7">
        <f>C8-_xlfn.FORECAST.ETS.CONFINT(A8,$B$2:$B$5,$A$2:$A$5,0.95,0,1)</f>
        <v>44527444.818375781</v>
      </c>
      <c r="E8" s="7">
        <f>C8+_xlfn.FORECAST.ETS.CONFINT(A8,$B$2:$B$5,$A$2:$A$5,0.95,0,1)</f>
        <v>48377759.469002768</v>
      </c>
      <c r="F8" s="8">
        <f>(Table1[[#This Row],[Forecast]]-C7)/C7</f>
        <v>1.5161128904656318E-2</v>
      </c>
      <c r="G8" s="8">
        <f>(Table1[[#This Row],[Lower Confidence Bound]]-D7)/D7</f>
        <v>1.4038624188640287E-2</v>
      </c>
      <c r="H8" s="8">
        <f>(Table1[[#This Row],[Upper Confidence Bound]]-E7)/E7</f>
        <v>1.6196493695902807E-2</v>
      </c>
    </row>
    <row r="9" spans="1:8" x14ac:dyDescent="0.45">
      <c r="F9" s="9">
        <f>AVERAGE(F3:F8)</f>
        <v>1.6116640267566471E-2</v>
      </c>
      <c r="G9" s="9">
        <f t="shared" ref="G9:H9" si="0">AVERAGE(G3:G8)</f>
        <v>9.1124326156369184E-3</v>
      </c>
      <c r="H9" s="9">
        <f t="shared" si="0"/>
        <v>2.31040493156521E-2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7382-7172-4270-8F70-A41535F9B6EB}">
  <dimension ref="A1:K5"/>
  <sheetViews>
    <sheetView tabSelected="1" zoomScale="89" workbookViewId="0">
      <selection activeCell="F10" sqref="F10"/>
    </sheetView>
  </sheetViews>
  <sheetFormatPr defaultRowHeight="14.25" x14ac:dyDescent="0.45"/>
  <cols>
    <col min="1" max="1" width="10.59765625" bestFit="1" customWidth="1"/>
    <col min="2" max="2" width="11.73046875" bestFit="1" customWidth="1"/>
    <col min="3" max="4" width="11.3984375" bestFit="1" customWidth="1"/>
    <col min="5" max="5" width="12.59765625" bestFit="1" customWidth="1"/>
    <col min="6" max="6" width="18.73046875" bestFit="1" customWidth="1"/>
    <col min="7" max="7" width="24.3984375" bestFit="1" customWidth="1"/>
    <col min="8" max="8" width="37.59765625" bestFit="1" customWidth="1"/>
    <col min="9" max="9" width="47.86328125" bestFit="1" customWidth="1"/>
    <col min="10" max="10" width="52" bestFit="1" customWidth="1"/>
    <col min="11" max="11" width="11.86328125" bestFit="1" customWidth="1"/>
  </cols>
  <sheetData>
    <row r="1" spans="1:11" ht="14.65" thickBot="1" x14ac:dyDescent="0.5">
      <c r="A1" s="5" t="s">
        <v>43</v>
      </c>
      <c r="B1" s="5" t="s">
        <v>44</v>
      </c>
      <c r="C1" s="5" t="s">
        <v>8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1</v>
      </c>
    </row>
    <row r="2" spans="1:11" x14ac:dyDescent="0.45">
      <c r="A2" s="1">
        <v>2025</v>
      </c>
      <c r="B2" s="2">
        <v>1916406</v>
      </c>
      <c r="C2" s="2">
        <v>1995000</v>
      </c>
      <c r="D2" s="2">
        <v>3639295</v>
      </c>
      <c r="E2" s="2">
        <v>1677850</v>
      </c>
      <c r="F2" s="2">
        <v>1694356</v>
      </c>
      <c r="G2" s="2">
        <v>1806782</v>
      </c>
      <c r="H2" s="2">
        <v>77273</v>
      </c>
      <c r="I2" s="2">
        <v>473723</v>
      </c>
      <c r="J2" s="2">
        <v>200843</v>
      </c>
      <c r="K2" s="2">
        <f>SUM(B2:J2)</f>
        <v>13481528</v>
      </c>
    </row>
    <row r="3" spans="1:11" x14ac:dyDescent="0.45">
      <c r="A3" s="3">
        <v>2024</v>
      </c>
      <c r="B3" s="4">
        <v>1558994</v>
      </c>
      <c r="C3" s="4">
        <v>1635000</v>
      </c>
      <c r="D3" s="4">
        <v>3736402</v>
      </c>
      <c r="E3" s="4">
        <v>1333165</v>
      </c>
      <c r="F3" s="4">
        <v>1918529</v>
      </c>
      <c r="G3" s="4">
        <v>2346574</v>
      </c>
      <c r="H3" s="4">
        <v>67216</v>
      </c>
      <c r="I3" s="4">
        <v>552246</v>
      </c>
      <c r="J3" s="4">
        <v>176400</v>
      </c>
      <c r="K3" s="2">
        <f t="shared" ref="K3:K5" si="0">SUM(B3:J3)</f>
        <v>13324526</v>
      </c>
    </row>
    <row r="4" spans="1:11" x14ac:dyDescent="0.45">
      <c r="A4" s="3">
        <v>2023</v>
      </c>
      <c r="B4" s="4">
        <v>1879898</v>
      </c>
      <c r="C4" s="4">
        <v>1850000</v>
      </c>
      <c r="D4" s="4">
        <v>3655911</v>
      </c>
      <c r="E4" s="4">
        <v>1168851</v>
      </c>
      <c r="F4" s="4">
        <v>1979755</v>
      </c>
      <c r="G4" s="4">
        <v>2221033</v>
      </c>
      <c r="H4" s="4">
        <v>51259</v>
      </c>
      <c r="I4" s="4">
        <v>562614</v>
      </c>
      <c r="J4" s="4">
        <v>191910</v>
      </c>
      <c r="K4" s="2">
        <f t="shared" si="0"/>
        <v>13561231</v>
      </c>
    </row>
    <row r="5" spans="1:11" x14ac:dyDescent="0.45">
      <c r="A5" s="3">
        <v>2022</v>
      </c>
      <c r="B5" s="4">
        <v>1933429</v>
      </c>
      <c r="C5" s="4">
        <v>1308000</v>
      </c>
      <c r="D5" s="4">
        <v>3714483</v>
      </c>
      <c r="E5" s="4">
        <v>1436387</v>
      </c>
      <c r="F5" s="4">
        <v>1909530</v>
      </c>
      <c r="G5" s="4">
        <v>1994771</v>
      </c>
      <c r="H5" s="4">
        <v>51645</v>
      </c>
      <c r="I5" s="4">
        <v>513951</v>
      </c>
      <c r="J5" s="4">
        <v>183861</v>
      </c>
      <c r="K5" s="2">
        <f t="shared" si="0"/>
        <v>13046057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Cost Forecast</vt:lpstr>
      <vt:lpstr>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Whelan, Connor James</dc:creator>
  <cp:keywords/>
  <dc:description/>
  <cp:lastModifiedBy>bryan kwan</cp:lastModifiedBy>
  <cp:revision/>
  <dcterms:created xsi:type="dcterms:W3CDTF">2026-03-26T16:55:00Z</dcterms:created>
  <dcterms:modified xsi:type="dcterms:W3CDTF">2026-03-26T17:52:57Z</dcterms:modified>
  <cp:category/>
  <cp:contentStatus/>
</cp:coreProperties>
</file>